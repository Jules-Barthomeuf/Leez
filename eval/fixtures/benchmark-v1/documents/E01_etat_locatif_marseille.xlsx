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t locatif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€&quot;"/>
    <numFmt numFmtId="165" formatCode="yyyy-mm-dd"/>
    <numFmt numFmtId="166" formatCode="DD/MM/YYYY"/>
    <numFmt numFmtId="167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0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2" customWidth="1" min="4" max="4"/>
    <col width="18" customWidth="1" min="5" max="5"/>
    <col width="12" customWidth="1" min="6" max="6"/>
    <col width="16" customWidth="1" min="7" max="7"/>
    <col width="12" customWidth="1" min="8" max="8"/>
    <col width="8" customWidth="1" min="9" max="9"/>
    <col width="10" customWidth="1" min="10" max="10"/>
  </cols>
  <sheetData>
    <row r="1">
      <c r="A1" s="1" t="inlineStr">
        <is>
          <t>ÉTAT LOCATIF – SCI VALLON ROUGE</t>
        </is>
      </c>
    </row>
    <row r="2">
      <c r="A2" t="inlineStr">
        <is>
          <t>Parc d'activités du Vallon Rouge – 210 route des Camoins – 13011 Marseille</t>
        </is>
      </c>
    </row>
    <row r="3">
      <c r="A3" s="2" t="inlineStr">
        <is>
          <t>Situation au 30/09/2026 – loyers indexés en vigueur</t>
        </is>
      </c>
    </row>
    <row r="5">
      <c r="A5" s="3" t="inlineStr">
        <is>
          <t>Lot</t>
        </is>
      </c>
      <c r="B5" s="3" t="inlineStr">
        <is>
          <t>Locataire</t>
        </is>
      </c>
      <c r="C5" s="3" t="inlineStr">
        <is>
          <t>Activité</t>
        </is>
      </c>
      <c r="D5" s="3" t="inlineStr">
        <is>
          <t>Surface (m²)</t>
        </is>
      </c>
      <c r="E5" s="3" t="inlineStr">
        <is>
          <t>Loyer annuel HT HC (€)</t>
        </is>
      </c>
      <c r="F5" s="3" t="inlineStr">
        <is>
          <t>Date d'effet</t>
        </is>
      </c>
      <c r="G5" s="3" t="inlineStr">
        <is>
          <t>Prochaine échéance triennale</t>
        </is>
      </c>
      <c r="H5" s="3" t="inlineStr">
        <is>
          <t>Fin de bail</t>
        </is>
      </c>
      <c r="I5" s="3" t="inlineStr">
        <is>
          <t>Indice</t>
        </is>
      </c>
      <c r="J5" s="3" t="inlineStr">
        <is>
          <t>TF refacturée</t>
        </is>
      </c>
    </row>
    <row r="6">
      <c r="A6" t="inlineStr">
        <is>
          <t>A</t>
        </is>
      </c>
      <c r="B6" t="inlineStr">
        <is>
          <t>Brico Sud Distribution</t>
        </is>
      </c>
      <c r="C6" t="inlineStr">
        <is>
          <t>Bricolage</t>
        </is>
      </c>
      <c r="D6" s="4" t="n">
        <v>1850</v>
      </c>
      <c r="E6" s="5" t="n">
        <v>185000</v>
      </c>
      <c r="F6" s="6" t="n">
        <v>44562</v>
      </c>
      <c r="G6" s="6" t="n">
        <v>46752</v>
      </c>
      <c r="H6" s="6" t="n">
        <v>48213</v>
      </c>
      <c r="I6" t="inlineStr">
        <is>
          <t>ILC</t>
        </is>
      </c>
      <c r="J6" t="inlineStr">
        <is>
          <t>Oui</t>
        </is>
      </c>
    </row>
    <row r="7">
      <c r="A7" t="inlineStr">
        <is>
          <t>B</t>
        </is>
      </c>
      <c r="B7" t="inlineStr">
        <is>
          <t>Croquettes &amp; Co</t>
        </is>
      </c>
      <c r="C7" t="inlineStr">
        <is>
          <t>Animalerie</t>
        </is>
      </c>
      <c r="D7" s="4" t="n">
        <v>620</v>
      </c>
      <c r="E7" s="5" t="n">
        <v>74400</v>
      </c>
      <c r="F7" s="6" t="n">
        <v>44378</v>
      </c>
      <c r="G7" s="6" t="n">
        <v>46568</v>
      </c>
      <c r="H7" s="6" t="n">
        <v>47664</v>
      </c>
      <c r="I7" t="inlineStr">
        <is>
          <t>ILC</t>
        </is>
      </c>
      <c r="J7" t="inlineStr">
        <is>
          <t>Oui</t>
        </is>
      </c>
    </row>
    <row r="8">
      <c r="A8" t="inlineStr">
        <is>
          <t>C</t>
        </is>
      </c>
      <c r="B8" t="inlineStr">
        <is>
          <t>Sportissime Méditerranée</t>
        </is>
      </c>
      <c r="C8" t="inlineStr">
        <is>
          <t>Articles de sport</t>
        </is>
      </c>
      <c r="D8" s="4" t="n">
        <v>1100</v>
      </c>
      <c r="E8" s="5" t="n">
        <v>121000</v>
      </c>
      <c r="F8" s="6" t="n">
        <v>43709</v>
      </c>
      <c r="G8" s="6" t="n">
        <v>46996</v>
      </c>
      <c r="H8" s="6" t="n">
        <v>46996</v>
      </c>
      <c r="I8" t="inlineStr">
        <is>
          <t>ILC</t>
        </is>
      </c>
      <c r="J8" t="inlineStr">
        <is>
          <t>Oui</t>
        </is>
      </c>
    </row>
    <row r="9">
      <c r="A9" t="inlineStr">
        <is>
          <t>D</t>
        </is>
      </c>
      <c r="B9" t="inlineStr">
        <is>
          <t>VACANT</t>
        </is>
      </c>
      <c r="C9" t="inlineStr">
        <is>
          <t>—</t>
        </is>
      </c>
      <c r="D9" s="4" t="n">
        <v>480</v>
      </c>
      <c r="E9" s="5" t="n">
        <v>0</v>
      </c>
    </row>
    <row r="10">
      <c r="A10" s="7" t="inlineStr">
        <is>
          <t>TOTAL</t>
        </is>
      </c>
      <c r="D10" s="7">
        <f>SUM(D6:D9)</f>
        <v/>
      </c>
      <c r="E10" s="8">
        <f>SUM(E6:E9)</f>
        <v/>
      </c>
    </row>
    <row r="12">
      <c r="A12" t="inlineStr">
        <is>
          <t>Taux d'occupation (surface) :</t>
        </is>
      </c>
      <c r="E12" s="9">
        <f>1-D9/D10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 lot D est vacant depuis le 15/03/2026 (départ de l'ancien locataire).</t>
        </is>
      </c>
    </row>
    <row r="2">
      <c r="A2" t="inlineStr">
        <is>
          <t>Les surfaces sont des surfaces de plancher issues du permis de construire.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2026-10-23T10:44:54Z</dcterms:created>
  <dcterms:modified xmlns:dcterms="http://purl.org/dc/terms/" xmlns:xsi="http://www.w3.org/2001/XMLSchema-instance" xsi:type="dcterms:W3CDTF">2026-10-23T10:44:54Z</dcterms:modified>
</cp:coreProperties>
</file>